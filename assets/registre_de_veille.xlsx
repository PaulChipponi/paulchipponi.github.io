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Registre" sheetId="2" state="visible" r:id="rId4"/>
    <sheet name="Sources" sheetId="3" state="visible" r:id="rId5"/>
    <sheet name="Synthèse" sheetId="4" state="visible" r:id="rId6"/>
  </sheets>
  <definedNames>
    <definedName function="false" hidden="true" localSheetId="1" name="_xlnm._FilterDatabase" vbProcedure="false">Registre!$A$1:$K$7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<sst xmlns="http://schemas.openxmlformats.org/spreadsheetml/2006/main" count="128" uniqueCount="83">
  <si>
    <t xml:space="preserve">Registre de veille – Paul Chipponi</t>
  </si>
  <si>
    <t xml:space="preserve">Ce classeur trace la veille métier et technologique menée pendant le parcours Business Intelligence Analyst. Il complète deux outils automatisés : Feedly, qui centralise les flux RSS des sources officielles, et les alertes Google, envoyées par e-mail chaque semaine.</t>
  </si>
  <si>
    <t xml:space="preserve">Onglet Registre : une ligne par information retenue. Remplir toutes les colonnes ; les colonnes Thème, Fiabilité, Pertinence et Décision proposent une liste déroulante. Les premières lignes, issues de la veille réalisée en octobre 2026, servent d'exemples.</t>
  </si>
  <si>
    <t xml:space="preserve">Onglet Sources : la liste des sources suivies, avec leur mode de collecte. À mettre à jour à chaque ajout ou abandon de source.</t>
  </si>
  <si>
    <t xml:space="preserve">Onglet Synthèse : les décisions et les thèmes comptés automatiquement à partir du registre, sans saisie.</t>
  </si>
  <si>
    <t xml:space="preserve">Critères d'évaluation</t>
  </si>
  <si>
    <t xml:space="preserve">Fiabilité : source officielle (éditeur, institution), presse spécialisée, blog ou expérimentation menée soi-même.</t>
  </si>
  <si>
    <t xml:space="preserve">Pertinence : 1 = culture générale, 2 = utile pour un projet, 3 = change une décision ou une pratique.</t>
  </si>
  <si>
    <t xml:space="preserve">Sobriété : l'outil ou la méthode est-il léger (peu de dépendances, gratuit, sans infrastructure) ou au contraire lourd à installer et à maintenir ?</t>
  </si>
  <si>
    <t xml:space="preserve">Décision : Adopté, À tester, À suivre ou Écarté, avec la raison dans le résumé.</t>
  </si>
  <si>
    <t xml:space="preserve">Rythme : une revue hebdomadaire de Feedly et des alertes, une mise à jour du registre, puis une revue trimestrielle des sources pour retirer celles qui n'apportent plus rien.</t>
  </si>
  <si>
    <t xml:space="preserve">Date</t>
  </si>
  <si>
    <t xml:space="preserve">Source</t>
  </si>
  <si>
    <t xml:space="preserve">Thème</t>
  </si>
  <si>
    <t xml:space="preserve">Titre</t>
  </si>
  <si>
    <t xml:space="preserve">Lien</t>
  </si>
  <si>
    <t xml:space="preserve">Résumé</t>
  </si>
  <si>
    <t xml:space="preserve">Fiabilité</t>
  </si>
  <si>
    <t xml:space="preserve">Pertinence</t>
  </si>
  <si>
    <t xml:space="preserve">Sobriété</t>
  </si>
  <si>
    <t xml:space="preserve">Décision</t>
  </si>
  <si>
    <t xml:space="preserve">Lien avec un projet</t>
  </si>
  <si>
    <t xml:space="preserve">Documentation officielle</t>
  </si>
  <si>
    <t xml:space="preserve">Qualité des données</t>
  </si>
  <si>
    <t xml:space="preserve">Pandera, validation de DataFrames</t>
  </si>
  <si>
    <t xml:space="preserve">https://pandera.readthedocs.io</t>
  </si>
  <si>
    <t xml:space="preserve">Bibliothèque de validation par schémas, intégrée à pandas, avec une validation « lazy » qui recense toutes les erreurs en une seule passe.</t>
  </si>
  <si>
    <t xml:space="preserve">Officielle</t>
  </si>
  <si>
    <t xml:space="preserve">Léger : environ 6 dépendances, open source</t>
  </si>
  <si>
    <t xml:space="preserve">Adopté</t>
  </si>
  <si>
    <t xml:space="preserve">Projet amélioré BottleNeck</t>
  </si>
  <si>
    <t xml:space="preserve">Great Expectations (GX Core 1.x)</t>
  </si>
  <si>
    <t xml:space="preserve">https://docs.greatexpectations.io</t>
  </si>
  <si>
    <t xml:space="preserve">Cadre de validation complet avec rapports HTML lisibles par le métier (Data Docs). Mise en place plus longue. Testé le 9 octobre : mêmes détections que Pandera sur trois règles, 2 secondes d'exécution.</t>
  </si>
  <si>
    <t xml:space="preserve">Lourd : environ 20 dépendances</t>
  </si>
  <si>
    <t xml:space="preserve">Écarté</t>
  </si>
  <si>
    <t xml:space="preserve">Expérimentation</t>
  </si>
  <si>
    <t xml:space="preserve">IA et data</t>
  </si>
  <si>
    <t xml:space="preserve">Génération de règles de validation par ChatGPT</t>
  </si>
  <si>
    <t xml:space="preserve">https://github.com/PaulChipponi/bottleneck-data-quality/blob/main/journal_ia.md</t>
  </si>
  <si>
    <t xml:space="preserve">Un prompt structuré produit un code couvrant les 15 règles, mais annonce 5 916 anomalies contre 1 170 réelles une fois exécuté. L'IA aide à amorcer et à cartographier, pas à livrer sans test.</t>
  </si>
  <si>
    <t xml:space="preserve">Usage limité à quelques essais tracés</t>
  </si>
  <si>
    <t xml:space="preserve">Notes de version GitHub</t>
  </si>
  <si>
    <t xml:space="preserve">Sortie de pandas 3</t>
  </si>
  <si>
    <t xml:space="preserve">https://github.com/pandas-dev/pandas/releases</t>
  </si>
  <si>
    <t xml:space="preserve">Version majeure qui modifie notamment le type par défaut des colonnes de texte. Versions figées dans requirements.txt pour garantir la reproductibilité.</t>
  </si>
  <si>
    <t xml:space="preserve">Neutre</t>
  </si>
  <si>
    <t xml:space="preserve">À suivre</t>
  </si>
  <si>
    <t xml:space="preserve">Feedly</t>
  </si>
  <si>
    <t xml:space="preserve">BI et visualisation</t>
  </si>
  <si>
    <t xml:space="preserve">Le blog Power BI regroupé dans le blog Microsoft Fabric</t>
  </si>
  <si>
    <t xml:space="preserve">https://blog.fabric.microsoft.com</t>
  </si>
  <si>
    <t xml:space="preserve">Les nouveautés de Power BI, dont le bilan mensuel des fonctionnalités, sont désormais publiées sur le blog Microsoft Fabric. Flux ajouté à Feedly.</t>
  </si>
  <si>
    <t xml:space="preserve">Projets 7 et 9</t>
  </si>
  <si>
    <t xml:space="preserve">Outils de veille</t>
  </si>
  <si>
    <t xml:space="preserve">Limites de la version gratuite de Feedly</t>
  </si>
  <si>
    <t xml:space="preserve">https://feedly.com</t>
  </si>
  <si>
    <t xml:space="preserve">Trois dossiers maximum, et ni flux Google News ni flux d'alertes Google dans la version gratuite. Choix : regrouper les thèmes en trois dossiers et recevoir les alertes Google par e-mail, plutôt que de payer un abonnement.</t>
  </si>
  <si>
    <t xml:space="preserve">Gratuit, sans infrastructure</t>
  </si>
  <si>
    <t xml:space="preserve">Système de veille</t>
  </si>
  <si>
    <t xml:space="preserve">Type</t>
  </si>
  <si>
    <t xml:space="preserve">Adresse</t>
  </si>
  <si>
    <t xml:space="preserve">Collecte</t>
  </si>
  <si>
    <t xml:space="preserve">Ajoutée le</t>
  </si>
  <si>
    <t xml:space="preserve">Microsoft Fabric Updates Blog</t>
  </si>
  <si>
    <t xml:space="preserve">Blog officiel</t>
  </si>
  <si>
    <t xml:space="preserve">https://blog.fabric.microsoft.com/fr-fr/blog/feed/</t>
  </si>
  <si>
    <t xml:space="preserve">Flux RSS dans Feedly</t>
  </si>
  <si>
    <t xml:space="preserve">Versions de pandas</t>
  </si>
  <si>
    <t xml:space="preserve">https://github.com/pandas-dev/pandas/releases.atom</t>
  </si>
  <si>
    <t xml:space="preserve">Versions de Pandera</t>
  </si>
  <si>
    <t xml:space="preserve">https://github.com/unionai-oss/pandera/releases.atom</t>
  </si>
  <si>
    <t xml:space="preserve">Alerte « accessibilité numérique RGAA »</t>
  </si>
  <si>
    <t xml:space="preserve">Accessibilité</t>
  </si>
  <si>
    <t xml:space="preserve">Alerte Google</t>
  </si>
  <si>
    <t xml:space="preserve">https://www.google.com/alerts</t>
  </si>
  <si>
    <t xml:space="preserve">E-mail hebdomadaire</t>
  </si>
  <si>
    <t xml:space="preserve">Alerte « CNIL sanction données personnelles »</t>
  </si>
  <si>
    <t xml:space="preserve">Réglementation</t>
  </si>
  <si>
    <t xml:space="preserve">Alerte « Anthropic Claude »</t>
  </si>
  <si>
    <t xml:space="preserve">Nombre d'entrées</t>
  </si>
  <si>
    <t xml:space="preserve">À tester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</si>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</sst>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3.8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23.8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5</v>
      </c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23.8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/>
    </row>
    <row r="15" customFormat="false" ht="23.85" hidden="false" customHeight="false" outlineLevel="0" collapsed="false">
      <c r="A15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5" min="4" style="0" width="34"/>
    <col collapsed="false" customWidth="true" hidden="false" outlineLevel="0" max="6" min="6" style="0" width="55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30"/>
    <col collapsed="false" customWidth="true" hidden="false" outlineLevel="0" max="10" min="10" style="0" width="12"/>
    <col collapsed="false" customWidth="true" hidden="false" outlineLevel="0" max="11" min="11" style="0" width="26"/>
  </cols>
  <sheetData>
    <row r="1" customFormat="false" ht="30" hidden="false" customHeight="true" outlineLevel="0" collapsed="false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</row>
    <row r="2" customFormat="false" ht="35.05" hidden="false" customHeight="false" outlineLevel="0" collapsed="false">
      <c r="A2" s="5" t="n">
        <v>46298</v>
      </c>
      <c r="B2" s="6" t="s">
        <v>22</v>
      </c>
      <c r="C2" s="6" t="s">
        <v>23</v>
      </c>
      <c r="D2" s="6" t="s">
        <v>24</v>
      </c>
      <c r="E2" s="6" t="s">
        <v>25</v>
      </c>
      <c r="F2" s="6" t="s">
        <v>26</v>
      </c>
      <c r="G2" s="6" t="s">
        <v>27</v>
      </c>
      <c r="H2" s="6" t="n">
        <v>3</v>
      </c>
      <c r="I2" s="6" t="s">
        <v>28</v>
      </c>
      <c r="J2" s="6" t="s">
        <v>29</v>
      </c>
      <c r="K2" s="6" t="s">
        <v>30</v>
      </c>
    </row>
    <row r="3" customFormat="false" ht="46.25" hidden="false" customHeight="false" outlineLevel="0" collapsed="false">
      <c r="A3" s="5" t="n">
        <v>46298</v>
      </c>
      <c r="B3" s="6" t="s">
        <v>22</v>
      </c>
      <c r="C3" s="6" t="s">
        <v>23</v>
      </c>
      <c r="D3" s="6" t="s">
        <v>31</v>
      </c>
      <c r="E3" s="6" t="s">
        <v>32</v>
      </c>
      <c r="F3" s="6" t="s">
        <v>33</v>
      </c>
      <c r="G3" s="6" t="s">
        <v>27</v>
      </c>
      <c r="H3" s="6" t="n">
        <v>2</v>
      </c>
      <c r="I3" s="6" t="s">
        <v>34</v>
      </c>
      <c r="J3" s="6" t="s">
        <v>35</v>
      </c>
      <c r="K3" s="6" t="s">
        <v>30</v>
      </c>
    </row>
    <row r="4" customFormat="false" ht="35.05" hidden="false" customHeight="false" outlineLevel="0" collapsed="false">
      <c r="A4" s="5" t="n">
        <v>46304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36</v>
      </c>
      <c r="H4" s="6" t="n">
        <v>3</v>
      </c>
      <c r="I4" s="6" t="s">
        <v>41</v>
      </c>
      <c r="J4" s="6" t="s">
        <v>29</v>
      </c>
      <c r="K4" s="6" t="s">
        <v>30</v>
      </c>
    </row>
    <row r="5" customFormat="false" ht="35.05" hidden="false" customHeight="false" outlineLevel="0" collapsed="false">
      <c r="A5" s="5" t="n">
        <v>46304</v>
      </c>
      <c r="B5" s="6" t="s">
        <v>42</v>
      </c>
      <c r="C5" s="6" t="s">
        <v>23</v>
      </c>
      <c r="D5" s="6" t="s">
        <v>43</v>
      </c>
      <c r="E5" s="6" t="s">
        <v>44</v>
      </c>
      <c r="F5" s="6" t="s">
        <v>45</v>
      </c>
      <c r="G5" s="6" t="s">
        <v>27</v>
      </c>
      <c r="H5" s="6" t="n">
        <v>3</v>
      </c>
      <c r="I5" s="6" t="s">
        <v>46</v>
      </c>
      <c r="J5" s="6" t="s">
        <v>47</v>
      </c>
      <c r="K5" s="6" t="s">
        <v>30</v>
      </c>
    </row>
    <row r="6" customFormat="false" ht="35.05" hidden="false" customHeight="false" outlineLevel="0" collapsed="false">
      <c r="A6" s="5" t="n">
        <v>46318</v>
      </c>
      <c r="B6" s="6" t="s">
        <v>48</v>
      </c>
      <c r="C6" s="6" t="s">
        <v>49</v>
      </c>
      <c r="D6" s="6" t="s">
        <v>50</v>
      </c>
      <c r="E6" s="6" t="s">
        <v>51</v>
      </c>
      <c r="F6" s="6" t="s">
        <v>52</v>
      </c>
      <c r="G6" s="6" t="s">
        <v>27</v>
      </c>
      <c r="H6" s="6" t="n">
        <v>2</v>
      </c>
      <c r="I6" s="6" t="s">
        <v>46</v>
      </c>
      <c r="J6" s="6" t="s">
        <v>47</v>
      </c>
      <c r="K6" s="6" t="s">
        <v>53</v>
      </c>
    </row>
    <row r="7" customFormat="false" ht="46.25" hidden="false" customHeight="false" outlineLevel="0" collapsed="false">
      <c r="A7" s="5" t="n">
        <v>46318</v>
      </c>
      <c r="B7" s="6" t="s">
        <v>36</v>
      </c>
      <c r="C7" s="6" t="s">
        <v>54</v>
      </c>
      <c r="D7" s="6" t="s">
        <v>55</v>
      </c>
      <c r="E7" s="6" t="s">
        <v>56</v>
      </c>
      <c r="F7" s="6" t="s">
        <v>57</v>
      </c>
      <c r="G7" s="6" t="s">
        <v>36</v>
      </c>
      <c r="H7" s="6" t="n">
        <v>2</v>
      </c>
      <c r="I7" s="6" t="s">
        <v>58</v>
      </c>
      <c r="J7" s="6" t="s">
        <v>29</v>
      </c>
      <c r="K7" s="6" t="s">
        <v>59</v>
      </c>
    </row>
  </sheetData>
  <autoFilter ref="A1:K7"/>
  <dataValidations count="4">
    <dataValidation allowBlank="true" errorStyle="stop" operator="between" showDropDown="false" showErrorMessage="false" showInputMessage="false" sqref="C2:C500" type="list">
      <formula1>"BI et visualisation,Qualité des données,IA et data,Réglementation,Accessibilité,Outils de veille"</formula1>
      <formula2>0</formula2>
    </dataValidation>
    <dataValidation allowBlank="true" errorStyle="stop" operator="between" showDropDown="false" showErrorMessage="false" showInputMessage="false" sqref="G2:G500" type="list">
      <formula1>"Officielle,Presse spécialisée,Blog,Expérimentation"</formula1>
      <formula2>0</formula2>
    </dataValidation>
    <dataValidation allowBlank="true" errorStyle="stop" operator="between" showDropDown="false" showErrorMessage="false" showInputMessage="false" sqref="H2:H500" type="list">
      <formula1>"1,2,3"</formula1>
      <formula2>0</formula2>
    </dataValidation>
    <dataValidation allowBlank="true" errorStyle="stop" operator="between" showDropDown="false" showErrorMessage="false" showInputMessage="false" sqref="J2:J500" type="list">
      <formula1>"Adopté,À tester,À suivre,Écarté"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55"/>
    <col collapsed="false" customWidth="true" hidden="false" outlineLevel="0" max="5" min="5" style="0" width="26"/>
    <col collapsed="false" customWidth="true" hidden="false" outlineLevel="0" max="6" min="6" style="0" width="12"/>
  </cols>
  <sheetData>
    <row r="1" customFormat="false" ht="30" hidden="false" customHeight="true" outlineLevel="0" collapsed="false">
      <c r="A1" s="4" t="s">
        <v>12</v>
      </c>
      <c r="B1" s="4" t="s">
        <v>13</v>
      </c>
      <c r="C1" s="4" t="s">
        <v>60</v>
      </c>
      <c r="D1" s="4" t="s">
        <v>61</v>
      </c>
      <c r="E1" s="4" t="s">
        <v>62</v>
      </c>
      <c r="F1" s="4" t="s">
        <v>63</v>
      </c>
    </row>
    <row r="2" customFormat="false" ht="15" hidden="false" customHeight="false" outlineLevel="0" collapsed="false">
      <c r="A2" s="6" t="s">
        <v>64</v>
      </c>
      <c r="B2" s="6" t="s">
        <v>49</v>
      </c>
      <c r="C2" s="6" t="s">
        <v>65</v>
      </c>
      <c r="D2" s="6" t="s">
        <v>66</v>
      </c>
      <c r="E2" s="6" t="s">
        <v>67</v>
      </c>
      <c r="F2" s="5" t="n">
        <v>46318</v>
      </c>
    </row>
    <row r="3" customFormat="false" ht="15" hidden="false" customHeight="false" outlineLevel="0" collapsed="false">
      <c r="A3" s="6" t="s">
        <v>68</v>
      </c>
      <c r="B3" s="6" t="s">
        <v>23</v>
      </c>
      <c r="C3" s="6" t="s">
        <v>42</v>
      </c>
      <c r="D3" s="6" t="s">
        <v>69</v>
      </c>
      <c r="E3" s="6" t="s">
        <v>67</v>
      </c>
      <c r="F3" s="5" t="n">
        <v>46319</v>
      </c>
    </row>
    <row r="4" customFormat="false" ht="15" hidden="false" customHeight="false" outlineLevel="0" collapsed="false">
      <c r="A4" s="6" t="s">
        <v>70</v>
      </c>
      <c r="B4" s="6" t="s">
        <v>23</v>
      </c>
      <c r="C4" s="6" t="s">
        <v>42</v>
      </c>
      <c r="D4" s="6" t="s">
        <v>71</v>
      </c>
      <c r="E4" s="6" t="s">
        <v>67</v>
      </c>
      <c r="F4" s="5" t="n">
        <v>46319</v>
      </c>
    </row>
    <row r="5" customFormat="false" ht="23.85" hidden="false" customHeight="false" outlineLevel="0" collapsed="false">
      <c r="A5" s="6" t="s">
        <v>72</v>
      </c>
      <c r="B5" s="6" t="s">
        <v>73</v>
      </c>
      <c r="C5" s="6" t="s">
        <v>74</v>
      </c>
      <c r="D5" s="6" t="s">
        <v>75</v>
      </c>
      <c r="E5" s="6" t="s">
        <v>76</v>
      </c>
      <c r="F5" s="5" t="n">
        <v>46319</v>
      </c>
    </row>
    <row r="6" customFormat="false" ht="23.85" hidden="false" customHeight="false" outlineLevel="0" collapsed="false">
      <c r="A6" s="6" t="s">
        <v>77</v>
      </c>
      <c r="B6" s="6" t="s">
        <v>78</v>
      </c>
      <c r="C6" s="6" t="s">
        <v>74</v>
      </c>
      <c r="D6" s="6" t="s">
        <v>75</v>
      </c>
      <c r="E6" s="6" t="s">
        <v>76</v>
      </c>
      <c r="F6" s="5" t="n">
        <v>46319</v>
      </c>
    </row>
    <row r="7" customFormat="false" ht="15" hidden="false" customHeight="false" outlineLevel="0" collapsed="false">
      <c r="A7" s="6" t="s">
        <v>79</v>
      </c>
      <c r="B7" s="6" t="s">
        <v>37</v>
      </c>
      <c r="C7" s="6" t="s">
        <v>74</v>
      </c>
      <c r="D7" s="6" t="s">
        <v>75</v>
      </c>
      <c r="E7" s="6" t="s">
        <v>76</v>
      </c>
      <c r="F7" s="5" t="n">
        <v>46319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7" t="s">
        <v>20</v>
      </c>
      <c r="B1" s="7" t="s">
        <v>80</v>
      </c>
    </row>
    <row r="2" customFormat="false" ht="15" hidden="false" customHeight="false" outlineLevel="0" collapsed="false">
      <c r="A2" s="8" t="s">
        <v>29</v>
      </c>
      <c r="B2" s="8" t="n">
        <f aca="false">COUNTIF(Registre!J2:J500,A2)</f>
        <v>3</v>
      </c>
    </row>
    <row r="3" customFormat="false" ht="15" hidden="false" customHeight="false" outlineLevel="0" collapsed="false">
      <c r="A3" s="8" t="s">
        <v>81</v>
      </c>
      <c r="B3" s="8" t="n">
        <f aca="false">COUNTIF(Registre!J2:J500,A3)</f>
        <v>0</v>
      </c>
    </row>
    <row r="4" customFormat="false" ht="15" hidden="false" customHeight="false" outlineLevel="0" collapsed="false">
      <c r="A4" s="8" t="s">
        <v>47</v>
      </c>
      <c r="B4" s="8" t="n">
        <f aca="false">COUNTIF(Registre!J2:J500,A4)</f>
        <v>2</v>
      </c>
    </row>
    <row r="5" customFormat="false" ht="15" hidden="false" customHeight="false" outlineLevel="0" collapsed="false">
      <c r="A5" s="8" t="s">
        <v>35</v>
      </c>
      <c r="B5" s="8" t="n">
        <f aca="false">COUNTIF(Registre!J2:J500,A5)</f>
        <v>1</v>
      </c>
    </row>
    <row r="6" customFormat="false" ht="15" hidden="false" customHeight="false" outlineLevel="0" collapsed="false">
      <c r="A6" s="9" t="s">
        <v>82</v>
      </c>
      <c r="B6" s="9" t="n">
        <f aca="false">SUM(B2:B5)</f>
        <v>6</v>
      </c>
    </row>
    <row r="8" customFormat="false" ht="15" hidden="false" customHeight="false" outlineLevel="0" collapsed="false">
      <c r="A8" s="7" t="s">
        <v>13</v>
      </c>
      <c r="B8" s="7" t="s">
        <v>80</v>
      </c>
    </row>
    <row r="9" customFormat="false" ht="15" hidden="false" customHeight="false" outlineLevel="0" collapsed="false">
      <c r="A9" s="8" t="s">
        <v>49</v>
      </c>
      <c r="B9" s="8" t="n">
        <f aca="false">COUNTIF(Registre!C2:C500,A9)</f>
        <v>1</v>
      </c>
    </row>
    <row r="10" customFormat="false" ht="15" hidden="false" customHeight="false" outlineLevel="0" collapsed="false">
      <c r="A10" s="8" t="s">
        <v>23</v>
      </c>
      <c r="B10" s="8" t="n">
        <f aca="false">COUNTIF(Registre!C2:C500,A10)</f>
        <v>3</v>
      </c>
    </row>
    <row r="11" customFormat="false" ht="15" hidden="false" customHeight="false" outlineLevel="0" collapsed="false">
      <c r="A11" s="8" t="s">
        <v>37</v>
      </c>
      <c r="B11" s="8" t="n">
        <f aca="false">COUNTIF(Registre!C2:C500,A11)</f>
        <v>1</v>
      </c>
    </row>
    <row r="12" customFormat="false" ht="15" hidden="false" customHeight="false" outlineLevel="0" collapsed="false">
      <c r="A12" s="8" t="s">
        <v>78</v>
      </c>
      <c r="B12" s="8" t="n">
        <f aca="false">COUNTIF(Registre!C2:C500,A12)</f>
        <v>0</v>
      </c>
    </row>
    <row r="13" customFormat="false" ht="15" hidden="false" customHeight="false" outlineLevel="0" collapsed="false">
      <c r="A13" s="8" t="s">
        <v>73</v>
      </c>
      <c r="B13" s="8" t="n">
        <f aca="false">COUNTIF(Registre!C2:C500,A13)</f>
        <v>0</v>
      </c>
    </row>
    <row r="14" customFormat="false" ht="15" hidden="false" customHeight="false" outlineLevel="0" collapsed="false">
      <c r="A14" s="8" t="s">
        <v>54</v>
      </c>
      <c r="B14" s="8" t="n">
        <f aca="false">COUNTIF(Registre!C2:C500,A14)</f>
        <v>1</v>
      </c>
    </row>
    <row r="15" customFormat="false" ht="15" hidden="false" customHeight="false" outlineLevel="0" collapsed="false">
      <c r="A15" s="9" t="s">
        <v>82</v>
      </c>
      <c r="B15" s="9" t="n">
        <f aca="false">SUM(B9:B14)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2026-10-24T12:02:24Z</dcterms:created>
  <dc:creator>openpyxl</dc:creator>
  <dc:description/>
  <dc:language>en-US</dc:language>
  <cp:lastModifiedBy/>
  <dcterms:modified xsi:type="dcterms:W3CDTF">2026-10-24T12:02:24Z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